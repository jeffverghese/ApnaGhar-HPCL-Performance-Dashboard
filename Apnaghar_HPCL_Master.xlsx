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\Documents\Apna Ghar Dashboard\"/>
    </mc:Choice>
  </mc:AlternateContent>
  <bookViews>
    <workbookView xWindow="0" yWindow="0" windowWidth="19200" windowHeight="6930" activeTab="1"/>
  </bookViews>
  <sheets>
    <sheet name="Haryana " sheetId="4" r:id="rId1"/>
    <sheet name="From Dec" sheetId="11" r:id="rId2"/>
  </sheets>
  <calcPr calcId="162913"/>
</workbook>
</file>

<file path=xl/calcChain.xml><?xml version="1.0" encoding="utf-8"?>
<calcChain xmlns="http://schemas.openxmlformats.org/spreadsheetml/2006/main">
  <c r="S5" i="11" l="1"/>
  <c r="S6" i="11"/>
  <c r="S7" i="11"/>
  <c r="S8" i="11"/>
  <c r="S9" i="11"/>
  <c r="S10" i="11"/>
  <c r="S11" i="11"/>
  <c r="S12" i="11"/>
  <c r="S13" i="11"/>
  <c r="S14" i="11"/>
  <c r="S15" i="11"/>
  <c r="R5" i="11"/>
  <c r="R6" i="11"/>
  <c r="R7" i="11"/>
  <c r="R8" i="11"/>
  <c r="R9" i="11"/>
  <c r="R10" i="11"/>
  <c r="R11" i="11"/>
  <c r="R12" i="11"/>
  <c r="R13" i="11"/>
  <c r="R14" i="11"/>
  <c r="R15" i="11"/>
  <c r="R4" i="11"/>
  <c r="S4" i="11" l="1"/>
  <c r="S16" i="11" s="1"/>
  <c r="R16" i="11"/>
  <c r="P16" i="11"/>
  <c r="P17" i="11"/>
  <c r="Q16" i="11"/>
  <c r="O16" i="11"/>
  <c r="N17" i="11" l="1"/>
  <c r="L17" i="11"/>
  <c r="J17" i="11"/>
  <c r="H17" i="11"/>
  <c r="F17" i="11"/>
  <c r="D17" i="11"/>
  <c r="N16" i="11"/>
  <c r="M16" i="11"/>
  <c r="L16" i="11"/>
  <c r="K16" i="11"/>
  <c r="J16" i="11"/>
  <c r="I16" i="11"/>
  <c r="H16" i="11"/>
  <c r="G16" i="11"/>
  <c r="F16" i="11"/>
  <c r="E16" i="11"/>
  <c r="D16" i="11"/>
  <c r="Q16" i="4" l="1"/>
  <c r="S15" i="4"/>
  <c r="S14" i="4"/>
  <c r="S13" i="4"/>
  <c r="S12" i="4"/>
  <c r="S11" i="4"/>
  <c r="S10" i="4"/>
  <c r="S9" i="4"/>
  <c r="S8" i="4"/>
  <c r="S7" i="4"/>
  <c r="S6" i="4"/>
  <c r="S4" i="4"/>
  <c r="S5" i="4"/>
  <c r="R4" i="4"/>
  <c r="R14" i="4"/>
  <c r="R15" i="4"/>
  <c r="R13" i="4"/>
  <c r="R12" i="4"/>
  <c r="R11" i="4"/>
  <c r="R10" i="4"/>
  <c r="R9" i="4"/>
  <c r="R8" i="4"/>
  <c r="R7" i="4"/>
  <c r="R6" i="4"/>
  <c r="R5" i="4"/>
  <c r="E16" i="4"/>
  <c r="G16" i="4"/>
  <c r="I16" i="4"/>
  <c r="K16" i="4"/>
  <c r="M16" i="4"/>
  <c r="O16" i="4"/>
  <c r="P16" i="4"/>
  <c r="N16" i="4"/>
  <c r="L16" i="4"/>
  <c r="J16" i="4"/>
  <c r="H16" i="4"/>
  <c r="F16" i="4"/>
  <c r="D16" i="4"/>
  <c r="S16" i="4" l="1"/>
  <c r="R16" i="4"/>
  <c r="P17" i="4"/>
  <c r="N17" i="4"/>
  <c r="L17" i="4"/>
  <c r="J17" i="4"/>
  <c r="H17" i="4"/>
  <c r="F17" i="4"/>
  <c r="D17" i="4"/>
</calcChain>
</file>

<file path=xl/sharedStrings.xml><?xml version="1.0" encoding="utf-8"?>
<sst xmlns="http://schemas.openxmlformats.org/spreadsheetml/2006/main" count="95" uniqueCount="35">
  <si>
    <t>Apna Ghar Name</t>
  </si>
  <si>
    <t>Apna Ghar Customer Code</t>
  </si>
  <si>
    <t>Total Cost</t>
  </si>
  <si>
    <t>City</t>
  </si>
  <si>
    <t>ADHOC JAI SHIV FS</t>
  </si>
  <si>
    <t>Hisar</t>
  </si>
  <si>
    <t>URD FUEL MART</t>
  </si>
  <si>
    <t>Shree Gopal Filling Station</t>
  </si>
  <si>
    <t>Gurugram</t>
  </si>
  <si>
    <t>ADHOC SHREE KRISHNA FUEL POINT</t>
  </si>
  <si>
    <t>Gurgaon</t>
  </si>
  <si>
    <t>HP SERVICE CENTRE- RAIMALIKPUR</t>
  </si>
  <si>
    <t>Rewari</t>
  </si>
  <si>
    <t xml:space="preserve">CH RAI SINGH SAHARAN PETRO CITY </t>
  </si>
  <si>
    <t>Nov</t>
  </si>
  <si>
    <t>Dec</t>
  </si>
  <si>
    <t>Jan</t>
  </si>
  <si>
    <t>Feb</t>
  </si>
  <si>
    <t>Mar</t>
  </si>
  <si>
    <t>Apr</t>
  </si>
  <si>
    <t>May</t>
  </si>
  <si>
    <t>Total Sum of Total Cost</t>
  </si>
  <si>
    <t>No of Bookings</t>
  </si>
  <si>
    <t>HPCL Apna Ghar</t>
  </si>
  <si>
    <t>Cost of Booking</t>
  </si>
  <si>
    <t>Total No of Bookings</t>
  </si>
  <si>
    <t>Mohan Ankur Fs</t>
  </si>
  <si>
    <t>Shree Raj Chetan Petro Energy</t>
  </si>
  <si>
    <t>M/s SHRI SHEO LAL FILLING STATION</t>
  </si>
  <si>
    <t>Gupta Filling station</t>
  </si>
  <si>
    <t>COMMANDO FILLING STATION</t>
  </si>
  <si>
    <t>SHAHBAD FUEL JUNCTION</t>
  </si>
  <si>
    <t>Panipat</t>
  </si>
  <si>
    <t>41042213 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</si>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</sst>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theme="6" tint="-0.249977111117893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NumberFormat="1"/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/>
    <xf numFmtId="0" fontId="0" fillId="0" borderId="1" xfId="0" applyNumberFormat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4" xfId="0" applyNumberFormat="1" applyBorder="1"/>
    <xf numFmtId="0" fontId="4" fillId="0" borderId="4" xfId="0" applyNumberFormat="1" applyFont="1" applyBorder="1"/>
    <xf numFmtId="0" fontId="1" fillId="3" borderId="4" xfId="0" applyNumberFormat="1" applyFont="1" applyFill="1" applyBorder="1"/>
    <xf numFmtId="0" fontId="1" fillId="3" borderId="1" xfId="0" applyNumberFormat="1" applyFont="1" applyFill="1" applyBorder="1"/>
    <xf numFmtId="0" fontId="1" fillId="3" borderId="2" xfId="0" applyNumberFormat="1" applyFont="1" applyFill="1" applyBorder="1"/>
    <xf numFmtId="0" fontId="5" fillId="3" borderId="6" xfId="0" applyNumberFormat="1" applyFont="1" applyFill="1" applyBorder="1"/>
    <xf numFmtId="0" fontId="1" fillId="3" borderId="7" xfId="0" applyNumberFormat="1" applyFont="1" applyFill="1" applyBorder="1"/>
    <xf numFmtId="0" fontId="1" fillId="3" borderId="12" xfId="0" applyNumberFormat="1" applyFont="1" applyFill="1" applyBorder="1"/>
    <xf numFmtId="0" fontId="1" fillId="2" borderId="4" xfId="0" applyNumberFormat="1" applyFont="1" applyFill="1" applyBorder="1" applyAlignment="1">
      <alignment vertical="center" wrapText="1"/>
    </xf>
    <xf numFmtId="0" fontId="3" fillId="5" borderId="1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 wrapText="1"/>
    </xf>
    <xf numFmtId="0" fontId="1" fillId="3" borderId="5" xfId="0" applyNumberFormat="1" applyFont="1" applyFill="1" applyBorder="1"/>
    <xf numFmtId="0" fontId="1" fillId="3" borderId="11" xfId="0" applyNumberFormat="1" applyFont="1" applyFill="1" applyBorder="1"/>
    <xf numFmtId="0" fontId="0" fillId="2" borderId="1" xfId="0" applyNumberFormat="1" applyFill="1" applyBorder="1"/>
    <xf numFmtId="0" fontId="1" fillId="2" borderId="1" xfId="0" applyNumberFormat="1" applyFont="1" applyFill="1" applyBorder="1" applyAlignment="1">
      <alignment vertical="center" wrapText="1"/>
    </xf>
    <xf numFmtId="0" fontId="1" fillId="3" borderId="3" xfId="0" applyNumberFormat="1" applyFont="1" applyFill="1" applyBorder="1"/>
    <xf numFmtId="0" fontId="0" fillId="2" borderId="4" xfId="0" applyNumberFormat="1" applyFill="1" applyBorder="1"/>
    <xf numFmtId="0" fontId="0" fillId="2" borderId="5" xfId="0" applyNumberFormat="1" applyFill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3" borderId="7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/>
    <xf numFmtId="0" fontId="0" fillId="0" borderId="0" xfId="0" applyNumberFormat="1" applyBorder="1"/>
    <xf numFmtId="0" fontId="2" fillId="0" borderId="0" xfId="0" applyNumberFormat="1" applyFont="1" applyBorder="1" applyAlignment="1">
      <alignment vertical="center"/>
    </xf>
    <xf numFmtId="0" fontId="1" fillId="2" borderId="19" xfId="0" applyNumberFormat="1" applyFont="1" applyFill="1" applyBorder="1" applyAlignment="1">
      <alignment vertical="center" wrapText="1"/>
    </xf>
    <xf numFmtId="0" fontId="3" fillId="5" borderId="20" xfId="0" applyNumberFormat="1" applyFont="1" applyFill="1" applyBorder="1" applyAlignment="1">
      <alignment vertical="center"/>
    </xf>
    <xf numFmtId="0" fontId="1" fillId="2" borderId="20" xfId="0" applyNumberFormat="1" applyFont="1" applyFill="1" applyBorder="1" applyAlignment="1">
      <alignment horizontal="left" vertical="center" wrapText="1"/>
    </xf>
    <xf numFmtId="0" fontId="1" fillId="2" borderId="20" xfId="0" applyNumberFormat="1" applyFont="1" applyFill="1" applyBorder="1" applyAlignment="1">
      <alignment vertical="center" wrapText="1"/>
    </xf>
    <xf numFmtId="0" fontId="1" fillId="2" borderId="21" xfId="0" applyNumberFormat="1" applyFont="1" applyFill="1" applyBorder="1" applyAlignment="1">
      <alignment vertical="center" wrapText="1"/>
    </xf>
    <xf numFmtId="0" fontId="0" fillId="2" borderId="25" xfId="0" applyNumberFormat="1" applyFill="1" applyBorder="1"/>
    <xf numFmtId="0" fontId="1" fillId="2" borderId="25" xfId="0" applyNumberFormat="1" applyFont="1" applyFill="1" applyBorder="1" applyAlignment="1">
      <alignment horizontal="center"/>
    </xf>
    <xf numFmtId="0" fontId="0" fillId="2" borderId="27" xfId="0" applyNumberFormat="1" applyFill="1" applyBorder="1"/>
    <xf numFmtId="0" fontId="0" fillId="2" borderId="26" xfId="0" applyNumberFormat="1" applyFill="1" applyBorder="1"/>
    <xf numFmtId="0" fontId="0" fillId="2" borderId="18" xfId="0" applyNumberFormat="1" applyFill="1" applyBorder="1"/>
    <xf numFmtId="0" fontId="1" fillId="2" borderId="26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/>
    </xf>
    <xf numFmtId="0" fontId="1" fillId="4" borderId="9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0" fontId="1" fillId="4" borderId="10" xfId="0" applyNumberFormat="1" applyFont="1" applyFill="1" applyBorder="1" applyAlignment="1">
      <alignment horizontal="center" vertical="center"/>
    </xf>
    <xf numFmtId="0" fontId="1" fillId="4" borderId="8" xfId="0" applyNumberFormat="1" applyFont="1" applyFill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15" xfId="0" applyNumberFormat="1" applyFont="1" applyBorder="1" applyAlignment="1">
      <alignment horizontal="center" vertical="center"/>
    </xf>
    <xf numFmtId="0" fontId="1" fillId="2" borderId="23" xfId="0" applyNumberFormat="1" applyFont="1" applyFill="1" applyBorder="1" applyAlignment="1">
      <alignment horizontal="center" vertical="center"/>
    </xf>
    <xf numFmtId="0" fontId="1" fillId="2" borderId="26" xfId="0" applyNumberFormat="1" applyFont="1" applyFill="1" applyBorder="1" applyAlignment="1">
      <alignment horizontal="center" vertical="center"/>
    </xf>
    <xf numFmtId="0" fontId="2" fillId="0" borderId="22" xfId="0" applyNumberFormat="1" applyFont="1" applyBorder="1" applyAlignment="1">
      <alignment horizontal="center" vertical="center"/>
    </xf>
    <xf numFmtId="0" fontId="2" fillId="0" borderId="23" xfId="0" applyNumberFormat="1" applyFont="1" applyBorder="1" applyAlignment="1">
      <alignment horizontal="center" vertical="center"/>
    </xf>
    <xf numFmtId="0" fontId="2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"/>
  <sheetViews>
    <sheetView workbookViewId="0">
      <selection sqref="A1:S14"/>
    </sheetView>
  </sheetViews>
  <sheetFormatPr defaultRowHeight="15.5" x14ac:dyDescent="0.35"/>
  <cols>
    <col min="1" max="1" width="31.75" customWidth="1"/>
    <col min="2" max="2" width="9.58203125" customWidth="1"/>
    <col min="3" max="3" width="9.58203125" style="29" customWidth="1"/>
    <col min="5" max="5" width="7.83203125" hidden="1" customWidth="1"/>
    <col min="7" max="7" width="7.83203125" hidden="1" customWidth="1"/>
    <col min="9" max="9" width="7.83203125" hidden="1" customWidth="1"/>
    <col min="11" max="11" width="7.83203125" hidden="1" customWidth="1"/>
    <col min="13" max="13" width="7.83203125" hidden="1" customWidth="1"/>
    <col min="15" max="15" width="7.83203125" hidden="1" customWidth="1"/>
    <col min="17" max="17" width="7.83203125" hidden="1" customWidth="1"/>
    <col min="19" max="19" width="9.58203125" customWidth="1"/>
  </cols>
  <sheetData>
    <row r="1" spans="1:19" ht="18.5" x14ac:dyDescent="0.35">
      <c r="A1" s="52" t="s">
        <v>23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x14ac:dyDescent="0.35">
      <c r="A2" s="22"/>
      <c r="B2" s="19"/>
      <c r="C2" s="24"/>
      <c r="D2" s="45" t="s">
        <v>22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19"/>
      <c r="S2" s="23"/>
    </row>
    <row r="3" spans="1:19" s="1" customFormat="1" ht="62" x14ac:dyDescent="0.35">
      <c r="A3" s="14" t="s">
        <v>0</v>
      </c>
      <c r="B3" s="15" t="s">
        <v>3</v>
      </c>
      <c r="C3" s="30" t="s">
        <v>1</v>
      </c>
      <c r="D3" s="20" t="s">
        <v>14</v>
      </c>
      <c r="E3" s="20" t="s">
        <v>24</v>
      </c>
      <c r="F3" s="20" t="s">
        <v>15</v>
      </c>
      <c r="G3" s="20" t="s">
        <v>24</v>
      </c>
      <c r="H3" s="20" t="s">
        <v>16</v>
      </c>
      <c r="I3" s="20" t="s">
        <v>24</v>
      </c>
      <c r="J3" s="20" t="s">
        <v>17</v>
      </c>
      <c r="K3" s="20" t="s">
        <v>24</v>
      </c>
      <c r="L3" s="20" t="s">
        <v>18</v>
      </c>
      <c r="M3" s="20" t="s">
        <v>24</v>
      </c>
      <c r="N3" s="20" t="s">
        <v>19</v>
      </c>
      <c r="O3" s="20" t="s">
        <v>24</v>
      </c>
      <c r="P3" s="20" t="s">
        <v>20</v>
      </c>
      <c r="Q3" s="20" t="s">
        <v>24</v>
      </c>
      <c r="R3" s="20" t="s">
        <v>25</v>
      </c>
      <c r="S3" s="16" t="s">
        <v>21</v>
      </c>
    </row>
    <row r="4" spans="1:19" x14ac:dyDescent="0.35">
      <c r="A4" s="6" t="s">
        <v>4</v>
      </c>
      <c r="B4" s="4" t="s">
        <v>5</v>
      </c>
      <c r="C4" s="25">
        <v>41076267</v>
      </c>
      <c r="D4" s="3">
        <v>2</v>
      </c>
      <c r="E4" s="3">
        <v>224</v>
      </c>
      <c r="F4" s="3">
        <v>6</v>
      </c>
      <c r="G4" s="3">
        <v>504</v>
      </c>
      <c r="H4" s="3">
        <v>5</v>
      </c>
      <c r="I4" s="3">
        <v>539</v>
      </c>
      <c r="J4" s="3">
        <v>9</v>
      </c>
      <c r="K4" s="3">
        <v>843.5</v>
      </c>
      <c r="L4" s="3">
        <v>4</v>
      </c>
      <c r="M4" s="3">
        <v>262.5</v>
      </c>
      <c r="N4" s="3">
        <v>10</v>
      </c>
      <c r="O4" s="3">
        <v>577.5</v>
      </c>
      <c r="P4" s="3">
        <v>30</v>
      </c>
      <c r="Q4" s="3">
        <v>2625</v>
      </c>
      <c r="R4" s="9">
        <f t="shared" ref="R4:R15" si="0">SUM(D4,F4,H4,J4,L4,N4,P4)</f>
        <v>66</v>
      </c>
      <c r="S4" s="17">
        <f t="shared" ref="S4:S15" si="1">SUM(E4,G4,I4,K4,M4,O4,Q4)</f>
        <v>5575.5</v>
      </c>
    </row>
    <row r="5" spans="1:19" x14ac:dyDescent="0.35">
      <c r="A5" s="6" t="s">
        <v>9</v>
      </c>
      <c r="B5" s="4" t="s">
        <v>10</v>
      </c>
      <c r="C5" s="25">
        <v>41077112</v>
      </c>
      <c r="D5" s="3">
        <v>1</v>
      </c>
      <c r="E5" s="3">
        <v>56</v>
      </c>
      <c r="F5" s="3">
        <v>9</v>
      </c>
      <c r="G5" s="3">
        <v>2352</v>
      </c>
      <c r="H5" s="3">
        <v>0</v>
      </c>
      <c r="I5" s="3">
        <v>0</v>
      </c>
      <c r="J5" s="3">
        <v>3</v>
      </c>
      <c r="K5" s="3">
        <v>157.5</v>
      </c>
      <c r="L5" s="3">
        <v>4</v>
      </c>
      <c r="M5" s="3">
        <v>472.5</v>
      </c>
      <c r="N5" s="3">
        <v>3</v>
      </c>
      <c r="O5" s="3">
        <v>210</v>
      </c>
      <c r="P5" s="3">
        <v>1</v>
      </c>
      <c r="Q5" s="3">
        <v>52.5</v>
      </c>
      <c r="R5" s="9">
        <f t="shared" si="0"/>
        <v>21</v>
      </c>
      <c r="S5" s="17">
        <f t="shared" si="1"/>
        <v>3300.5</v>
      </c>
    </row>
    <row r="6" spans="1:19" x14ac:dyDescent="0.35">
      <c r="A6" s="6" t="s">
        <v>13</v>
      </c>
      <c r="B6" s="4" t="s">
        <v>5</v>
      </c>
      <c r="C6" s="25">
        <v>41014508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105</v>
      </c>
      <c r="L6" s="3">
        <v>9</v>
      </c>
      <c r="M6" s="3">
        <v>577.5</v>
      </c>
      <c r="N6" s="3">
        <v>0</v>
      </c>
      <c r="O6" s="3">
        <v>0</v>
      </c>
      <c r="P6" s="3">
        <v>2</v>
      </c>
      <c r="Q6" s="3">
        <v>105</v>
      </c>
      <c r="R6" s="9">
        <f t="shared" si="0"/>
        <v>13</v>
      </c>
      <c r="S6" s="17">
        <f t="shared" si="1"/>
        <v>787.5</v>
      </c>
    </row>
    <row r="7" spans="1:19" x14ac:dyDescent="0.35">
      <c r="A7" s="6" t="s">
        <v>11</v>
      </c>
      <c r="B7" s="4" t="s">
        <v>12</v>
      </c>
      <c r="C7" s="25">
        <v>41068971</v>
      </c>
      <c r="D7" s="3">
        <v>2</v>
      </c>
      <c r="E7" s="3">
        <v>112</v>
      </c>
      <c r="F7" s="3">
        <v>8</v>
      </c>
      <c r="G7" s="3">
        <v>672</v>
      </c>
      <c r="H7" s="3">
        <v>0</v>
      </c>
      <c r="I7" s="3">
        <v>0</v>
      </c>
      <c r="J7" s="3">
        <v>0</v>
      </c>
      <c r="K7" s="3">
        <v>0</v>
      </c>
      <c r="L7" s="3">
        <v>1</v>
      </c>
      <c r="M7" s="3">
        <v>52.5</v>
      </c>
      <c r="N7" s="3">
        <v>0</v>
      </c>
      <c r="O7" s="3">
        <v>0</v>
      </c>
      <c r="P7" s="3">
        <v>0</v>
      </c>
      <c r="Q7" s="3">
        <v>0</v>
      </c>
      <c r="R7" s="9">
        <f t="shared" si="0"/>
        <v>11</v>
      </c>
      <c r="S7" s="17">
        <f t="shared" si="1"/>
        <v>836.5</v>
      </c>
    </row>
    <row r="8" spans="1:19" x14ac:dyDescent="0.35">
      <c r="A8" s="6" t="s">
        <v>7</v>
      </c>
      <c r="B8" s="4" t="s">
        <v>8</v>
      </c>
      <c r="C8" s="25">
        <v>41010103</v>
      </c>
      <c r="D8" s="3">
        <v>0</v>
      </c>
      <c r="E8" s="3">
        <v>0</v>
      </c>
      <c r="F8" s="3">
        <v>1</v>
      </c>
      <c r="G8" s="3">
        <v>56</v>
      </c>
      <c r="H8" s="3">
        <v>2</v>
      </c>
      <c r="I8" s="3">
        <v>112</v>
      </c>
      <c r="J8" s="3">
        <v>1</v>
      </c>
      <c r="K8" s="3">
        <v>52.5</v>
      </c>
      <c r="L8" s="3">
        <v>3</v>
      </c>
      <c r="M8" s="3">
        <v>157.5</v>
      </c>
      <c r="N8" s="3">
        <v>1</v>
      </c>
      <c r="O8" s="3">
        <v>157.5</v>
      </c>
      <c r="P8" s="3">
        <v>1</v>
      </c>
      <c r="Q8" s="3">
        <v>210</v>
      </c>
      <c r="R8" s="9">
        <f t="shared" si="0"/>
        <v>9</v>
      </c>
      <c r="S8" s="17">
        <f t="shared" si="1"/>
        <v>745.5</v>
      </c>
    </row>
    <row r="9" spans="1:19" ht="15" customHeight="1" x14ac:dyDescent="0.35">
      <c r="A9" s="6" t="s">
        <v>6</v>
      </c>
      <c r="B9" s="4" t="s">
        <v>5</v>
      </c>
      <c r="C9" s="25">
        <v>41041332</v>
      </c>
      <c r="D9" s="3">
        <v>5</v>
      </c>
      <c r="E9" s="3">
        <v>280</v>
      </c>
      <c r="F9" s="3">
        <v>9</v>
      </c>
      <c r="G9" s="3">
        <v>1008</v>
      </c>
      <c r="H9" s="3">
        <v>7</v>
      </c>
      <c r="I9" s="3">
        <v>875</v>
      </c>
      <c r="J9" s="3">
        <v>3</v>
      </c>
      <c r="K9" s="3">
        <v>315</v>
      </c>
      <c r="L9" s="3">
        <v>2</v>
      </c>
      <c r="M9" s="3">
        <v>210</v>
      </c>
      <c r="N9" s="3">
        <v>1</v>
      </c>
      <c r="O9" s="3">
        <v>105</v>
      </c>
      <c r="P9" s="3">
        <v>8</v>
      </c>
      <c r="Q9" s="3">
        <v>945</v>
      </c>
      <c r="R9" s="9">
        <f t="shared" si="0"/>
        <v>35</v>
      </c>
      <c r="S9" s="17">
        <f t="shared" si="1"/>
        <v>3738</v>
      </c>
    </row>
    <row r="10" spans="1:19" ht="15" customHeight="1" x14ac:dyDescent="0.35">
      <c r="A10" s="6" t="s">
        <v>26</v>
      </c>
      <c r="B10" s="5" t="s">
        <v>5</v>
      </c>
      <c r="C10" s="26" t="s">
        <v>33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9">
        <f t="shared" si="0"/>
        <v>0</v>
      </c>
      <c r="S10" s="17">
        <f t="shared" si="1"/>
        <v>0</v>
      </c>
    </row>
    <row r="11" spans="1:19" ht="15" customHeight="1" x14ac:dyDescent="0.35">
      <c r="A11" s="7" t="s">
        <v>27</v>
      </c>
      <c r="B11" s="5" t="s">
        <v>5</v>
      </c>
      <c r="C11" s="25">
        <v>41085489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105</v>
      </c>
      <c r="R11" s="9">
        <f t="shared" si="0"/>
        <v>1</v>
      </c>
      <c r="S11" s="17">
        <f t="shared" si="1"/>
        <v>105</v>
      </c>
    </row>
    <row r="12" spans="1:19" ht="15" customHeight="1" x14ac:dyDescent="0.35">
      <c r="A12" s="7" t="s">
        <v>28</v>
      </c>
      <c r="B12" s="5" t="s">
        <v>10</v>
      </c>
      <c r="C12" s="25">
        <v>41009599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105</v>
      </c>
      <c r="R12" s="9">
        <f t="shared" si="0"/>
        <v>2</v>
      </c>
      <c r="S12" s="17">
        <f t="shared" si="1"/>
        <v>105</v>
      </c>
    </row>
    <row r="13" spans="1:19" ht="15" customHeight="1" x14ac:dyDescent="0.35">
      <c r="A13" s="7" t="s">
        <v>29</v>
      </c>
      <c r="B13" s="5" t="s">
        <v>10</v>
      </c>
      <c r="C13" s="26">
        <v>41015062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52.5</v>
      </c>
      <c r="R13" s="9">
        <f t="shared" si="0"/>
        <v>1</v>
      </c>
      <c r="S13" s="17">
        <f t="shared" si="1"/>
        <v>52.5</v>
      </c>
    </row>
    <row r="14" spans="1:19" ht="15" customHeight="1" x14ac:dyDescent="0.35">
      <c r="A14" s="7" t="s">
        <v>30</v>
      </c>
      <c r="B14" s="5" t="s">
        <v>10</v>
      </c>
      <c r="C14" s="26">
        <v>41079373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9">
        <f t="shared" si="0"/>
        <v>0</v>
      </c>
      <c r="S14" s="17">
        <f t="shared" si="1"/>
        <v>0</v>
      </c>
    </row>
    <row r="15" spans="1:19" ht="15" customHeight="1" thickBot="1" x14ac:dyDescent="0.4">
      <c r="A15" s="7" t="s">
        <v>31</v>
      </c>
      <c r="B15" s="5" t="s">
        <v>32</v>
      </c>
      <c r="C15" s="26">
        <v>41089893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21">
        <f t="shared" si="0"/>
        <v>0</v>
      </c>
      <c r="S15" s="18">
        <f t="shared" si="1"/>
        <v>0</v>
      </c>
    </row>
    <row r="16" spans="1:19" s="2" customFormat="1" x14ac:dyDescent="0.35">
      <c r="A16" s="8" t="s">
        <v>25</v>
      </c>
      <c r="B16" s="9"/>
      <c r="C16" s="27"/>
      <c r="D16" s="9">
        <f t="shared" ref="D16:S16" si="2">SUM(D4:D15)</f>
        <v>10</v>
      </c>
      <c r="E16" s="9">
        <f t="shared" si="2"/>
        <v>672</v>
      </c>
      <c r="F16" s="9">
        <f t="shared" si="2"/>
        <v>33</v>
      </c>
      <c r="G16" s="9">
        <f t="shared" si="2"/>
        <v>4592</v>
      </c>
      <c r="H16" s="9">
        <f t="shared" si="2"/>
        <v>14</v>
      </c>
      <c r="I16" s="9">
        <f t="shared" si="2"/>
        <v>1526</v>
      </c>
      <c r="J16" s="9">
        <f t="shared" si="2"/>
        <v>18</v>
      </c>
      <c r="K16" s="9">
        <f t="shared" si="2"/>
        <v>1473.5</v>
      </c>
      <c r="L16" s="9">
        <f t="shared" si="2"/>
        <v>23</v>
      </c>
      <c r="M16" s="9">
        <f t="shared" si="2"/>
        <v>1732.5</v>
      </c>
      <c r="N16" s="9">
        <f t="shared" si="2"/>
        <v>15</v>
      </c>
      <c r="O16" s="9">
        <f t="shared" si="2"/>
        <v>1050</v>
      </c>
      <c r="P16" s="9">
        <f t="shared" si="2"/>
        <v>46</v>
      </c>
      <c r="Q16" s="10">
        <f t="shared" si="2"/>
        <v>4200</v>
      </c>
      <c r="R16" s="48">
        <f t="shared" si="2"/>
        <v>159</v>
      </c>
      <c r="S16" s="50">
        <f t="shared" si="2"/>
        <v>15246</v>
      </c>
    </row>
    <row r="17" spans="1:19" s="2" customFormat="1" ht="16" thickBot="1" x14ac:dyDescent="0.4">
      <c r="A17" s="11" t="s">
        <v>2</v>
      </c>
      <c r="B17" s="12"/>
      <c r="C17" s="28"/>
      <c r="D17" s="12">
        <f>SUM(E4:E15)</f>
        <v>672</v>
      </c>
      <c r="E17" s="12"/>
      <c r="F17" s="12">
        <f>SUM(G4:G15)</f>
        <v>4592</v>
      </c>
      <c r="G17" s="12"/>
      <c r="H17" s="12">
        <f>SUM(I4:I15)</f>
        <v>1526</v>
      </c>
      <c r="I17" s="12"/>
      <c r="J17" s="12">
        <f>SUM(K4:K15)</f>
        <v>1473.5</v>
      </c>
      <c r="K17" s="12"/>
      <c r="L17" s="12">
        <f>SUM(M4:M15)</f>
        <v>1732.5</v>
      </c>
      <c r="M17" s="12"/>
      <c r="N17" s="12">
        <f>SUM(O4:O15)</f>
        <v>1050</v>
      </c>
      <c r="O17" s="12"/>
      <c r="P17" s="12">
        <f>SUM(Q4:Q15)</f>
        <v>4200</v>
      </c>
      <c r="Q17" s="13"/>
      <c r="R17" s="49"/>
      <c r="S17" s="51"/>
    </row>
  </sheetData>
  <mergeCells count="4">
    <mergeCell ref="D2:Q2"/>
    <mergeCell ref="R16:R17"/>
    <mergeCell ref="S16:S17"/>
    <mergeCell ref="A1:S1"/>
  </mergeCells>
  <pageMargins left="0.25" right="0.25" top="0.75" bottom="0.54" header="0.3" footer="0.36"/>
  <pageSetup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workbookViewId="0">
      <selection activeCell="D4" sqref="D4"/>
    </sheetView>
  </sheetViews>
  <sheetFormatPr defaultRowHeight="15.5" x14ac:dyDescent="0.35"/>
  <cols>
    <col min="1" max="1" width="32.58203125" customWidth="1"/>
    <col min="3" max="3" width="9.58203125" customWidth="1"/>
    <col min="5" max="5" width="0" hidden="1" customWidth="1"/>
    <col min="7" max="7" width="0" hidden="1" customWidth="1"/>
    <col min="9" max="9" width="0" hidden="1" customWidth="1"/>
    <col min="11" max="11" width="0" hidden="1" customWidth="1"/>
    <col min="13" max="13" width="0" hidden="1" customWidth="1"/>
    <col min="15" max="15" width="0" hidden="1" customWidth="1"/>
    <col min="16" max="16" width="9" style="31"/>
    <col min="17" max="17" width="7.83203125" style="31" bestFit="1" customWidth="1"/>
  </cols>
  <sheetData>
    <row r="1" spans="1:22" ht="19" thickBot="1" x14ac:dyDescent="0.4">
      <c r="A1" s="57" t="s">
        <v>23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9"/>
      <c r="T1" s="33"/>
      <c r="U1" s="33"/>
      <c r="V1" s="32"/>
    </row>
    <row r="2" spans="1:22" ht="16" thickBot="1" x14ac:dyDescent="0.4">
      <c r="A2" s="43"/>
      <c r="B2" s="42"/>
      <c r="C2" s="40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44"/>
      <c r="Q2" s="44"/>
      <c r="R2" s="39"/>
      <c r="S2" s="41"/>
      <c r="T2" s="32"/>
      <c r="U2" s="32"/>
    </row>
    <row r="3" spans="1:22" ht="62" x14ac:dyDescent="0.35">
      <c r="A3" s="34" t="s">
        <v>0</v>
      </c>
      <c r="B3" s="35" t="s">
        <v>3</v>
      </c>
      <c r="C3" s="36" t="s">
        <v>1</v>
      </c>
      <c r="D3" s="37" t="s">
        <v>15</v>
      </c>
      <c r="E3" s="37" t="s">
        <v>24</v>
      </c>
      <c r="F3" s="37" t="s">
        <v>16</v>
      </c>
      <c r="G3" s="37" t="s">
        <v>24</v>
      </c>
      <c r="H3" s="37" t="s">
        <v>17</v>
      </c>
      <c r="I3" s="37" t="s">
        <v>24</v>
      </c>
      <c r="J3" s="37" t="s">
        <v>18</v>
      </c>
      <c r="K3" s="37" t="s">
        <v>24</v>
      </c>
      <c r="L3" s="37" t="s">
        <v>19</v>
      </c>
      <c r="M3" s="37" t="s">
        <v>24</v>
      </c>
      <c r="N3" s="37" t="s">
        <v>20</v>
      </c>
      <c r="O3" s="37" t="s">
        <v>24</v>
      </c>
      <c r="P3" s="37" t="s">
        <v>34</v>
      </c>
      <c r="Q3" s="37" t="s">
        <v>24</v>
      </c>
      <c r="R3" s="37" t="s">
        <v>25</v>
      </c>
      <c r="S3" s="38" t="s">
        <v>21</v>
      </c>
    </row>
    <row r="4" spans="1:22" x14ac:dyDescent="0.35">
      <c r="A4" s="6" t="s">
        <v>4</v>
      </c>
      <c r="B4" s="4" t="s">
        <v>5</v>
      </c>
      <c r="C4" s="25">
        <v>41076267</v>
      </c>
      <c r="D4" s="3">
        <v>6</v>
      </c>
      <c r="E4" s="3">
        <v>504</v>
      </c>
      <c r="F4" s="3">
        <v>5</v>
      </c>
      <c r="G4" s="3">
        <v>539</v>
      </c>
      <c r="H4" s="3">
        <v>9</v>
      </c>
      <c r="I4" s="3">
        <v>843.5</v>
      </c>
      <c r="J4" s="3">
        <v>4</v>
      </c>
      <c r="K4" s="3">
        <v>262.5</v>
      </c>
      <c r="L4" s="3">
        <v>10</v>
      </c>
      <c r="M4" s="3">
        <v>577.5</v>
      </c>
      <c r="N4" s="3">
        <v>37</v>
      </c>
      <c r="O4" s="3">
        <v>3097.5</v>
      </c>
      <c r="P4" s="3">
        <v>19</v>
      </c>
      <c r="Q4" s="3">
        <v>1470</v>
      </c>
      <c r="R4" s="9">
        <f>SUM(,D4,F4,H4,J4,L4,N4,P4)</f>
        <v>90</v>
      </c>
      <c r="S4" s="17">
        <f>SUM(,E4,G4,I4,K4,M4,O4,Q4)</f>
        <v>7294</v>
      </c>
    </row>
    <row r="5" spans="1:22" x14ac:dyDescent="0.35">
      <c r="A5" s="6" t="s">
        <v>9</v>
      </c>
      <c r="B5" s="4" t="s">
        <v>10</v>
      </c>
      <c r="C5" s="25">
        <v>41077112</v>
      </c>
      <c r="D5" s="3">
        <v>9</v>
      </c>
      <c r="E5" s="3">
        <v>2352</v>
      </c>
      <c r="F5" s="3">
        <v>0</v>
      </c>
      <c r="G5" s="3">
        <v>0</v>
      </c>
      <c r="H5" s="3">
        <v>3</v>
      </c>
      <c r="I5" s="3">
        <v>157.5</v>
      </c>
      <c r="J5" s="3">
        <v>4</v>
      </c>
      <c r="K5" s="3">
        <v>472.5</v>
      </c>
      <c r="L5" s="3">
        <v>3</v>
      </c>
      <c r="M5" s="3">
        <v>210</v>
      </c>
      <c r="N5" s="3">
        <v>4</v>
      </c>
      <c r="O5" s="3">
        <v>315</v>
      </c>
      <c r="P5" s="3">
        <v>3</v>
      </c>
      <c r="Q5" s="3">
        <v>787.5</v>
      </c>
      <c r="R5" s="9">
        <f t="shared" ref="R5:R15" si="0">SUM(,D5,F5,H5,J5,L5,N5,P5)</f>
        <v>26</v>
      </c>
      <c r="S5" s="17">
        <f t="shared" ref="S5:S15" si="1">SUM(,E5,G5,I5,K5,M5,O5,Q5)</f>
        <v>4294.5</v>
      </c>
    </row>
    <row r="6" spans="1:22" x14ac:dyDescent="0.35">
      <c r="A6" s="6" t="s">
        <v>13</v>
      </c>
      <c r="B6" s="4" t="s">
        <v>5</v>
      </c>
      <c r="C6" s="25">
        <v>41014508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>
        <v>105</v>
      </c>
      <c r="J6" s="3">
        <v>9</v>
      </c>
      <c r="K6" s="3">
        <v>577.5</v>
      </c>
      <c r="L6" s="3">
        <v>0</v>
      </c>
      <c r="M6" s="3">
        <v>0</v>
      </c>
      <c r="N6" s="3">
        <v>2</v>
      </c>
      <c r="O6" s="3">
        <v>105</v>
      </c>
      <c r="P6" s="3">
        <v>7</v>
      </c>
      <c r="Q6" s="3">
        <v>367.5</v>
      </c>
      <c r="R6" s="9">
        <f t="shared" si="0"/>
        <v>20</v>
      </c>
      <c r="S6" s="17">
        <f t="shared" si="1"/>
        <v>1155</v>
      </c>
    </row>
    <row r="7" spans="1:22" x14ac:dyDescent="0.35">
      <c r="A7" s="6" t="s">
        <v>11</v>
      </c>
      <c r="B7" s="4" t="s">
        <v>12</v>
      </c>
      <c r="C7" s="25">
        <v>41068971</v>
      </c>
      <c r="D7" s="3">
        <v>8</v>
      </c>
      <c r="E7" s="3">
        <v>672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52.5</v>
      </c>
      <c r="L7" s="3">
        <v>0</v>
      </c>
      <c r="M7" s="3">
        <v>0</v>
      </c>
      <c r="N7" s="3">
        <v>1</v>
      </c>
      <c r="O7" s="3">
        <v>472.5</v>
      </c>
      <c r="P7" s="3">
        <v>1</v>
      </c>
      <c r="Q7" s="3">
        <v>52.5</v>
      </c>
      <c r="R7" s="9">
        <f t="shared" si="0"/>
        <v>11</v>
      </c>
      <c r="S7" s="17">
        <f t="shared" si="1"/>
        <v>1249.5</v>
      </c>
    </row>
    <row r="8" spans="1:22" x14ac:dyDescent="0.35">
      <c r="A8" s="6" t="s">
        <v>7</v>
      </c>
      <c r="B8" s="4" t="s">
        <v>8</v>
      </c>
      <c r="C8" s="25">
        <v>41010103</v>
      </c>
      <c r="D8" s="3">
        <v>1</v>
      </c>
      <c r="E8" s="3">
        <v>56</v>
      </c>
      <c r="F8" s="3">
        <v>2</v>
      </c>
      <c r="G8" s="3">
        <v>112</v>
      </c>
      <c r="H8" s="3">
        <v>1</v>
      </c>
      <c r="I8" s="3">
        <v>52.5</v>
      </c>
      <c r="J8" s="3">
        <v>3</v>
      </c>
      <c r="K8" s="3">
        <v>157.5</v>
      </c>
      <c r="L8" s="3">
        <v>1</v>
      </c>
      <c r="M8" s="3">
        <v>157.5</v>
      </c>
      <c r="N8" s="3">
        <v>1</v>
      </c>
      <c r="O8" s="3">
        <v>210</v>
      </c>
      <c r="P8" s="3">
        <v>0</v>
      </c>
      <c r="Q8" s="3"/>
      <c r="R8" s="9">
        <f t="shared" si="0"/>
        <v>9</v>
      </c>
      <c r="S8" s="17">
        <f t="shared" si="1"/>
        <v>745.5</v>
      </c>
    </row>
    <row r="9" spans="1:22" x14ac:dyDescent="0.35">
      <c r="A9" s="6" t="s">
        <v>6</v>
      </c>
      <c r="B9" s="4" t="s">
        <v>5</v>
      </c>
      <c r="C9" s="25">
        <v>41041332</v>
      </c>
      <c r="D9" s="3">
        <v>9</v>
      </c>
      <c r="E9" s="3">
        <v>1008</v>
      </c>
      <c r="F9" s="3">
        <v>7</v>
      </c>
      <c r="G9" s="3">
        <v>875</v>
      </c>
      <c r="H9" s="3">
        <v>3</v>
      </c>
      <c r="I9" s="3">
        <v>315</v>
      </c>
      <c r="J9" s="3">
        <v>2</v>
      </c>
      <c r="K9" s="3">
        <v>210</v>
      </c>
      <c r="L9" s="3">
        <v>1</v>
      </c>
      <c r="M9" s="3">
        <v>105</v>
      </c>
      <c r="N9" s="3">
        <v>12</v>
      </c>
      <c r="O9" s="3">
        <v>2415</v>
      </c>
      <c r="P9" s="3">
        <v>8</v>
      </c>
      <c r="Q9" s="3">
        <v>735</v>
      </c>
      <c r="R9" s="9">
        <f t="shared" si="0"/>
        <v>42</v>
      </c>
      <c r="S9" s="17">
        <f t="shared" si="1"/>
        <v>5663</v>
      </c>
    </row>
    <row r="10" spans="1:22" x14ac:dyDescent="0.35">
      <c r="A10" s="6" t="s">
        <v>26</v>
      </c>
      <c r="B10" s="5" t="s">
        <v>5</v>
      </c>
      <c r="C10" s="26" t="s">
        <v>33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/>
      <c r="R10" s="9">
        <f t="shared" si="0"/>
        <v>0</v>
      </c>
      <c r="S10" s="17">
        <f t="shared" si="1"/>
        <v>0</v>
      </c>
    </row>
    <row r="11" spans="1:22" x14ac:dyDescent="0.35">
      <c r="A11" s="7" t="s">
        <v>27</v>
      </c>
      <c r="B11" s="5" t="s">
        <v>5</v>
      </c>
      <c r="C11" s="25">
        <v>41085489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4</v>
      </c>
      <c r="O11" s="3">
        <v>1102.5</v>
      </c>
      <c r="P11" s="3">
        <v>0</v>
      </c>
      <c r="Q11" s="3"/>
      <c r="R11" s="9">
        <f t="shared" si="0"/>
        <v>4</v>
      </c>
      <c r="S11" s="17">
        <f t="shared" si="1"/>
        <v>1102.5</v>
      </c>
    </row>
    <row r="12" spans="1:22" x14ac:dyDescent="0.35">
      <c r="A12" s="7" t="s">
        <v>28</v>
      </c>
      <c r="B12" s="5" t="s">
        <v>10</v>
      </c>
      <c r="C12" s="25">
        <v>41009599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7</v>
      </c>
      <c r="O12" s="3">
        <v>367.5</v>
      </c>
      <c r="P12" s="3">
        <v>12</v>
      </c>
      <c r="Q12" s="3">
        <v>1155</v>
      </c>
      <c r="R12" s="9">
        <f t="shared" si="0"/>
        <v>19</v>
      </c>
      <c r="S12" s="17">
        <f t="shared" si="1"/>
        <v>1522.5</v>
      </c>
    </row>
    <row r="13" spans="1:22" x14ac:dyDescent="0.35">
      <c r="A13" s="7" t="s">
        <v>29</v>
      </c>
      <c r="B13" s="5" t="s">
        <v>10</v>
      </c>
      <c r="C13" s="26">
        <v>41015062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3</v>
      </c>
      <c r="O13" s="3">
        <v>525</v>
      </c>
      <c r="P13" s="3">
        <v>0</v>
      </c>
      <c r="Q13" s="3"/>
      <c r="R13" s="9">
        <f t="shared" si="0"/>
        <v>3</v>
      </c>
      <c r="S13" s="17">
        <f t="shared" si="1"/>
        <v>525</v>
      </c>
    </row>
    <row r="14" spans="1:22" x14ac:dyDescent="0.35">
      <c r="A14" s="7" t="s">
        <v>30</v>
      </c>
      <c r="B14" s="5" t="s">
        <v>10</v>
      </c>
      <c r="C14" s="26">
        <v>41079373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52.5</v>
      </c>
      <c r="P14" s="3">
        <v>0</v>
      </c>
      <c r="Q14" s="3"/>
      <c r="R14" s="9">
        <f t="shared" si="0"/>
        <v>1</v>
      </c>
      <c r="S14" s="17">
        <f t="shared" si="1"/>
        <v>52.5</v>
      </c>
    </row>
    <row r="15" spans="1:22" ht="16" thickBot="1" x14ac:dyDescent="0.4">
      <c r="A15" s="7" t="s">
        <v>31</v>
      </c>
      <c r="B15" s="5" t="s">
        <v>32</v>
      </c>
      <c r="C15" s="26">
        <v>41089893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  <c r="R15" s="9">
        <f t="shared" si="0"/>
        <v>0</v>
      </c>
      <c r="S15" s="17">
        <f t="shared" si="1"/>
        <v>0</v>
      </c>
    </row>
    <row r="16" spans="1:22" x14ac:dyDescent="0.35">
      <c r="A16" s="8" t="s">
        <v>25</v>
      </c>
      <c r="B16" s="9"/>
      <c r="C16" s="27"/>
      <c r="D16" s="9">
        <f t="shared" ref="D16:N16" si="2">SUM(D4:D15)</f>
        <v>33</v>
      </c>
      <c r="E16" s="9">
        <f t="shared" si="2"/>
        <v>4592</v>
      </c>
      <c r="F16" s="9">
        <f t="shared" si="2"/>
        <v>14</v>
      </c>
      <c r="G16" s="9">
        <f t="shared" si="2"/>
        <v>1526</v>
      </c>
      <c r="H16" s="9">
        <f t="shared" si="2"/>
        <v>18</v>
      </c>
      <c r="I16" s="9">
        <f t="shared" si="2"/>
        <v>1473.5</v>
      </c>
      <c r="J16" s="9">
        <f t="shared" si="2"/>
        <v>23</v>
      </c>
      <c r="K16" s="9">
        <f t="shared" si="2"/>
        <v>1732.5</v>
      </c>
      <c r="L16" s="9">
        <f t="shared" si="2"/>
        <v>15</v>
      </c>
      <c r="M16" s="9">
        <f t="shared" si="2"/>
        <v>1050</v>
      </c>
      <c r="N16" s="9">
        <f t="shared" si="2"/>
        <v>72</v>
      </c>
      <c r="O16" s="10">
        <f>SUM(O4:O15)</f>
        <v>8662.5</v>
      </c>
      <c r="P16" s="9">
        <f>SUM(P4:P15)</f>
        <v>50</v>
      </c>
      <c r="Q16" s="10">
        <f>SUM(Q4:Q15)</f>
        <v>4567.5</v>
      </c>
      <c r="R16" s="48">
        <f>SUM(R4:R15)</f>
        <v>225</v>
      </c>
      <c r="S16" s="50">
        <f>SUM(S4:S15)</f>
        <v>23604</v>
      </c>
    </row>
    <row r="17" spans="1:19" ht="16" thickBot="1" x14ac:dyDescent="0.4">
      <c r="A17" s="11" t="s">
        <v>2</v>
      </c>
      <c r="B17" s="12"/>
      <c r="C17" s="28"/>
      <c r="D17" s="12">
        <f>SUM(E4:E15)</f>
        <v>4592</v>
      </c>
      <c r="E17" s="12"/>
      <c r="F17" s="12">
        <f>SUM(G4:G15)</f>
        <v>1526</v>
      </c>
      <c r="G17" s="12"/>
      <c r="H17" s="12">
        <f>SUM(I4:I15)</f>
        <v>1473.5</v>
      </c>
      <c r="I17" s="12"/>
      <c r="J17" s="12">
        <f>SUM(K4:K15)</f>
        <v>1732.5</v>
      </c>
      <c r="K17" s="12"/>
      <c r="L17" s="12">
        <f>SUM(M4:M15)</f>
        <v>1050</v>
      </c>
      <c r="M17" s="12"/>
      <c r="N17" s="12">
        <f>SUM(O4:O15)</f>
        <v>8662.5</v>
      </c>
      <c r="O17" s="13"/>
      <c r="P17" s="12">
        <f>SUM(Q4:Q15)</f>
        <v>4567.5</v>
      </c>
      <c r="Q17" s="13"/>
      <c r="R17" s="49"/>
      <c r="S17" s="51"/>
    </row>
  </sheetData>
  <mergeCells count="4">
    <mergeCell ref="D2:O2"/>
    <mergeCell ref="R16:R17"/>
    <mergeCell ref="S16:S17"/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Haryana </vt:lpstr>
      <vt:lpstr>From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</cp:lastModifiedBy>
  <cp:lastPrinted>2026-05-04T06:53:34Z</cp:lastPrinted>
  <dcterms:modified xsi:type="dcterms:W3CDTF">2026-06-21T16:53:47Z</dcterms:modified>
</cp:coreProperties>
</file>